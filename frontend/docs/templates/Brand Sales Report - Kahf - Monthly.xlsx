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 by SKU" sheetId="2" state="visible" r:id="rId2"/>
    <sheet xmlns:r="http://schemas.openxmlformats.org/officeDocument/2006/relationships" name="Stock and deliveries" sheetId="3" state="visible" r:id="rId3"/>
  </sheets>
  <definedNames>
    <definedName name="_xlnm._FilterDatabase" localSheetId="1" hidden="1">'Sales by SKU'!$A$7:$L$35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C0202D"/>
      <sz val="9"/>
    </font>
    <font>
      <name val="Arial"/>
      <b val="1"/>
      <color rgb="001B1D1C"/>
      <sz val="16"/>
    </font>
    <font>
      <name val="Arial"/>
      <color rgb="006B706D"/>
      <sz val="9"/>
    </font>
    <font>
      <name val="Arial"/>
      <b val="1"/>
      <color rgb="001B1D1C"/>
      <sz val="10"/>
    </font>
    <font>
      <name val="Arial"/>
      <b val="1"/>
      <color rgb="00FFFFFF"/>
      <sz val="9"/>
    </font>
    <font>
      <name val="Arial"/>
      <color rgb="001B1D1C"/>
      <sz val="10"/>
    </font>
    <font>
      <name val="Arial"/>
      <i val="1"/>
      <color rgb="006B706D"/>
      <sz val="9"/>
    </font>
    <font>
      <name val="Arial"/>
      <b val="1"/>
      <color rgb="001B1D1C"/>
      <sz val="11"/>
    </font>
  </fonts>
  <fills count="4">
    <fill>
      <patternFill/>
    </fill>
    <fill>
      <patternFill patternType="gray125"/>
    </fill>
    <fill>
      <patternFill patternType="solid">
        <fgColor rgb="001B1D1C"/>
      </patternFill>
    </fill>
    <fill>
      <patternFill patternType="solid">
        <fgColor rgb="00F2F4F1"/>
      </patternFill>
    </fill>
  </fills>
  <borders count="2">
    <border>
      <left/>
      <right/>
      <top/>
      <bottom/>
      <diagonal/>
    </border>
    <border>
      <left style="thin">
        <color rgb="00C6CBC5"/>
      </left>
      <right style="thin">
        <color rgb="00C6CBC5"/>
      </right>
      <top style="thin">
        <color rgb="00C6CBC5"/>
      </top>
      <bottom style="thin">
        <color rgb="00C6CB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0" borderId="1" pivotButton="0" quotePrefix="0" xfId="0"/>
    <xf numFmtId="164" fontId="6" fillId="0" borderId="1" pivotButton="0" quotePrefix="0" xfId="0"/>
    <xf numFmtId="164" fontId="4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7" fillId="0" borderId="0" pivotButton="0" quotePrefix="0" xfId="0"/>
    <xf numFmtId="2" fontId="4" fillId="0" borderId="0" pivotButton="0" quotePrefix="0" xfId="0"/>
    <xf numFmtId="0" fontId="6" fillId="0" borderId="1" pivotButton="0" quotePrefix="0" xfId="0"/>
    <xf numFmtId="49" fontId="6" fillId="0" borderId="1" pivotButton="0" quotePrefix="0" xfId="0"/>
    <xf numFmtId="0" fontId="4" fillId="3" borderId="1" pivotButton="0" quotePrefix="0" xfId="0"/>
    <xf numFmtId="0" fontId="6" fillId="3" borderId="1" pivotButton="0" quotePrefix="0" xfId="0"/>
    <xf numFmtId="164" fontId="4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NINJA VAN</t>
        </is>
      </c>
    </row>
    <row r="2">
      <c r="A2" s="2" t="inlineStr">
        <is>
          <t>Sales and stock report · Kahf</t>
        </is>
      </c>
    </row>
    <row r="4">
      <c r="A4" s="3" t="inlineStr">
        <is>
          <t>Period</t>
        </is>
      </c>
      <c r="B4" s="4" t="inlineStr">
        <is>
          <t>October 2026 (1 to 31 October)</t>
        </is>
      </c>
    </row>
    <row r="5">
      <c r="A5" s="3" t="inlineStr">
        <is>
          <t>Hubs</t>
        </is>
      </c>
      <c r="B5" s="4" t="inlineStr">
        <is>
          <t>MA5 Cawang, KJ5 Kemanggisan</t>
        </is>
      </c>
    </row>
    <row r="6">
      <c r="A6" s="3" t="inlineStr">
        <is>
          <t>Reference</t>
        </is>
      </c>
      <c r="B6" s="4" t="inlineStr">
        <is>
          <t>RPT-KHF-2610</t>
        </is>
      </c>
    </row>
    <row r="7">
      <c r="A7" s="3" t="inlineStr">
        <is>
          <t>Made</t>
        </is>
      </c>
      <c r="B7" s="4" t="inlineStr">
        <is>
          <t>04/11/2026 10:00 WIB</t>
        </is>
      </c>
    </row>
    <row r="9" ht="30" customHeight="1">
      <c r="A9" s="5" t="inlineStr">
        <is>
          <t>Figure</t>
        </is>
      </c>
      <c r="B9" s="5" t="inlineStr">
        <is>
          <t>MA5</t>
        </is>
      </c>
      <c r="C9" s="5" t="inlineStr">
        <is>
          <t>KJ5</t>
        </is>
      </c>
      <c r="D9" s="5" t="inlineStr">
        <is>
          <t>Total</t>
        </is>
      </c>
    </row>
    <row r="10">
      <c r="A10" s="6" t="inlineStr">
        <is>
          <t>Units sold</t>
        </is>
      </c>
      <c r="B10" s="7">
        <f>SUMIFS('Sales by SKU'!$G$8:$G$35,'Sales by SKU'!$A$8:$A$35,"MA5")</f>
        <v/>
      </c>
      <c r="C10" s="7">
        <f>SUMIFS('Sales by SKU'!$G$8:$G$35,'Sales by SKU'!$A$8:$A$35,"KJ5")</f>
        <v/>
      </c>
      <c r="D10" s="8">
        <f>B10+C10</f>
        <v/>
      </c>
    </row>
    <row r="11">
      <c r="A11" s="6" t="inlineStr">
        <is>
          <t>Sales value (Rp, Grab menu price)</t>
        </is>
      </c>
      <c r="B11" s="7">
        <f>SUMIFS('Sales by SKU'!$H$8:$H$35,'Sales by SKU'!$A$8:$A$35,"MA5")</f>
        <v/>
      </c>
      <c r="C11" s="7">
        <f>SUMIFS('Sales by SKU'!$H$8:$H$35,'Sales by SKU'!$A$8:$A$35,"KJ5")</f>
        <v/>
      </c>
      <c r="D11" s="8">
        <f>B11+C11</f>
        <v/>
      </c>
    </row>
    <row r="12">
      <c r="A12" s="6" t="inlineStr">
        <is>
          <t>Orders</t>
        </is>
      </c>
      <c r="B12" s="7">
        <f>ROUND(B10/1.6,0)</f>
        <v/>
      </c>
      <c r="C12" s="7">
        <f>ROUND(C10/1.6,0)</f>
        <v/>
      </c>
      <c r="D12" s="8">
        <f>B12+C12</f>
        <v/>
      </c>
    </row>
    <row r="13">
      <c r="A13" s="6" t="inlineStr">
        <is>
          <t>Orders cancelled: item out of stock</t>
        </is>
      </c>
      <c r="B13" s="7" t="n">
        <v>2</v>
      </c>
      <c r="C13" s="7" t="n">
        <v>1</v>
      </c>
      <c r="D13" s="8">
        <f>B13+C13</f>
        <v/>
      </c>
    </row>
    <row r="14">
      <c r="A14" s="6" t="inlineStr">
        <is>
          <t>Stock at end (units)</t>
        </is>
      </c>
      <c r="B14" s="7">
        <f>SUMIFS('Sales by SKU'!$I$8:$I$35,'Sales by SKU'!$A$8:$A$35,"MA5")</f>
        <v/>
      </c>
      <c r="C14" s="7">
        <f>SUMIFS('Sales by SKU'!$I$8:$I$35,'Sales by SKU'!$A$8:$A$35,"KJ5")</f>
        <v/>
      </c>
      <c r="D14" s="8">
        <f>B14+C14</f>
        <v/>
      </c>
    </row>
    <row r="15">
      <c r="A15" s="6" t="inlineStr">
        <is>
          <t>Units per order</t>
        </is>
      </c>
      <c r="B15" s="9">
        <f>IFERROR(B10/B12,0)</f>
        <v/>
      </c>
      <c r="C15" s="9">
        <f>IFERROR(C10/C12,0)</f>
        <v/>
      </c>
      <c r="D15" s="9">
        <f>IFERROR(D10/D12,0)</f>
        <v/>
      </c>
    </row>
    <row r="16">
      <c r="A16" s="6" t="inlineStr">
        <is>
          <t>Cancelled for out of stock, % of orders</t>
        </is>
      </c>
      <c r="B16" s="10">
        <f>IFERROR(B13/B12,0)</f>
        <v/>
      </c>
      <c r="C16" s="10">
        <f>IFERROR(C13/C12,0)</f>
        <v/>
      </c>
      <c r="D16" s="10">
        <f>IFERROR(D13/D12,0)</f>
        <v/>
      </c>
    </row>
    <row r="18">
      <c r="A18" s="11" t="inlineStr">
        <is>
          <t>Sales value = Grab menu price on the day of the order × units, before Grab commission and promotions. Cancelled orders are not counted.</t>
        </is>
      </c>
    </row>
    <row r="19">
      <c r="A19" s="11" t="inlineStr">
        <is>
          <t>A pack of 2 counts as 2 units of its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46" customWidth="1" min="4" max="4"/>
    <col width="9" customWidth="1" min="5" max="5"/>
    <col width="14" customWidth="1" min="6" max="6"/>
    <col width="11" customWidth="1" min="7" max="7"/>
    <col width="16" customWidth="1" min="8" max="8"/>
    <col width="11" customWidth="1" min="9" max="9"/>
    <col width="13" customWidth="1" min="10" max="10"/>
    <col width="12" customWidth="1" min="11" max="11"/>
    <col width="26" customWidth="1" min="12" max="12"/>
  </cols>
  <sheetData>
    <row r="1">
      <c r="A1" s="1" t="inlineStr">
        <is>
          <t>NINJA VAN</t>
        </is>
      </c>
    </row>
    <row r="2">
      <c r="A2" s="2" t="inlineStr">
        <is>
          <t>Sales by SKU · Kahf</t>
        </is>
      </c>
    </row>
    <row r="4">
      <c r="A4" s="3" t="inlineStr">
        <is>
          <t>Period</t>
        </is>
      </c>
      <c r="B4" s="4" t="inlineStr">
        <is>
          <t>October 2026 (1 to 31 October)</t>
        </is>
      </c>
    </row>
    <row r="5">
      <c r="A5" s="3" t="inlineStr">
        <is>
          <t>Weeks in period</t>
        </is>
      </c>
      <c r="B5" s="12" t="n">
        <v>4.43</v>
      </c>
    </row>
    <row r="7" ht="30" customHeight="1">
      <c r="A7" s="5" t="inlineStr">
        <is>
          <t>Hub</t>
        </is>
      </c>
      <c r="B7" s="5" t="inlineStr">
        <is>
          <t>SKU code</t>
        </is>
      </c>
      <c r="C7" s="5" t="inlineStr">
        <is>
          <t>Barcode</t>
        </is>
      </c>
      <c r="D7" s="5" t="inlineStr">
        <is>
          <t>Product</t>
        </is>
      </c>
      <c r="E7" s="5" t="inlineStr">
        <is>
          <t>Size</t>
        </is>
      </c>
      <c r="F7" s="5" t="inlineStr">
        <is>
          <t>Menu price (Rp)</t>
        </is>
      </c>
      <c r="G7" s="5" t="inlineStr">
        <is>
          <t>Units sold</t>
        </is>
      </c>
      <c r="H7" s="5" t="inlineStr">
        <is>
          <t>Sales value (Rp)</t>
        </is>
      </c>
      <c r="I7" s="5" t="inlineStr">
        <is>
          <t>Stock at end</t>
        </is>
      </c>
      <c r="J7" s="5" t="inlineStr">
        <is>
          <t>Average sold per week</t>
        </is>
      </c>
      <c r="K7" s="5" t="inlineStr">
        <is>
          <t>Weeks of cover</t>
        </is>
      </c>
      <c r="L7" s="5" t="inlineStr">
        <is>
          <t>Notes</t>
        </is>
      </c>
    </row>
    <row r="8">
      <c r="A8" s="13" t="inlineStr">
        <is>
          <t>MA5</t>
        </is>
      </c>
      <c r="B8" s="13" t="inlineStr">
        <is>
          <t>KHF-0001</t>
        </is>
      </c>
      <c r="C8" s="14" t="inlineStr">
        <is>
          <t>8993137710428</t>
        </is>
      </c>
      <c r="D8" s="13" t="inlineStr">
        <is>
          <t>Kahf Oil and Acne Care Face Wash</t>
        </is>
      </c>
      <c r="E8" s="13" t="inlineStr">
        <is>
          <t>100 ml</t>
        </is>
      </c>
      <c r="F8" s="7" t="n">
        <v>43900</v>
      </c>
      <c r="G8" s="7" t="n">
        <v>28</v>
      </c>
      <c r="H8" s="7">
        <f>F8*G8</f>
        <v/>
      </c>
      <c r="I8" s="7" t="n">
        <v>14</v>
      </c>
      <c r="J8" s="9">
        <f>G8/$B$5</f>
        <v/>
      </c>
      <c r="K8" s="9">
        <f>IFERROR(I8/J8,"-")</f>
        <v/>
      </c>
      <c r="L8" s="13" t="n"/>
    </row>
    <row r="9">
      <c r="A9" s="13" t="inlineStr">
        <is>
          <t>MA5</t>
        </is>
      </c>
      <c r="B9" s="13" t="inlineStr">
        <is>
          <t>KHF-0002</t>
        </is>
      </c>
      <c r="C9" s="14" t="inlineStr">
        <is>
          <t>8993137740838</t>
        </is>
      </c>
      <c r="D9" s="13" t="inlineStr">
        <is>
          <t>Kahf Oil and Acne Care Face Wash</t>
        </is>
      </c>
      <c r="E9" s="13" t="inlineStr">
        <is>
          <t>50 ml</t>
        </is>
      </c>
      <c r="F9" s="7" t="n">
        <v>29000</v>
      </c>
      <c r="G9" s="7" t="n">
        <v>30</v>
      </c>
      <c r="H9" s="7">
        <f>F9*G9</f>
        <v/>
      </c>
      <c r="I9" s="7" t="n">
        <v>5</v>
      </c>
      <c r="J9" s="9">
        <f>G9/$B$5</f>
        <v/>
      </c>
      <c r="K9" s="9">
        <f>IFERROR(I9/J9,"-")</f>
        <v/>
      </c>
      <c r="L9" s="13" t="n"/>
    </row>
    <row r="10">
      <c r="A10" s="13" t="inlineStr">
        <is>
          <t>MA5</t>
        </is>
      </c>
      <c r="B10" s="13" t="inlineStr">
        <is>
          <t>KHF-0003</t>
        </is>
      </c>
      <c r="C10" s="14" t="inlineStr">
        <is>
          <t>8993137710411</t>
        </is>
      </c>
      <c r="D10" s="13" t="inlineStr">
        <is>
          <t>Kahf Skin Energizing and Brightening Face Wash</t>
        </is>
      </c>
      <c r="E10" s="13" t="inlineStr">
        <is>
          <t>100 ml</t>
        </is>
      </c>
      <c r="F10" s="7" t="n">
        <v>42500</v>
      </c>
      <c r="G10" s="7" t="n">
        <v>31</v>
      </c>
      <c r="H10" s="7">
        <f>F10*G10</f>
        <v/>
      </c>
      <c r="I10" s="7" t="n">
        <v>13</v>
      </c>
      <c r="J10" s="9">
        <f>G10/$B$5</f>
        <v/>
      </c>
      <c r="K10" s="9">
        <f>IFERROR(I10/J10,"-")</f>
        <v/>
      </c>
      <c r="L10" s="13" t="n"/>
    </row>
    <row r="11">
      <c r="A11" s="13" t="inlineStr">
        <is>
          <t>MA5</t>
        </is>
      </c>
      <c r="B11" s="13" t="inlineStr">
        <is>
          <t>KHF-0004</t>
        </is>
      </c>
      <c r="C11" s="14" t="inlineStr">
        <is>
          <t>8993137740845</t>
        </is>
      </c>
      <c r="D11" s="13" t="inlineStr">
        <is>
          <t>Kahf Skin Energizing and Brightening Face Wash (Bright Foam)</t>
        </is>
      </c>
      <c r="E11" s="13" t="inlineStr">
        <is>
          <t>50 ml</t>
        </is>
      </c>
      <c r="F11" s="7" t="n">
        <v>29000</v>
      </c>
      <c r="G11" s="7" t="n">
        <v>21</v>
      </c>
      <c r="H11" s="7">
        <f>F11*G11</f>
        <v/>
      </c>
      <c r="I11" s="7" t="n">
        <v>12</v>
      </c>
      <c r="J11" s="9">
        <f>G11/$B$5</f>
        <v/>
      </c>
      <c r="K11" s="9">
        <f>IFERROR(I11/J11,"-")</f>
        <v/>
      </c>
      <c r="L11" s="13" t="n"/>
    </row>
    <row r="12">
      <c r="A12" s="13" t="inlineStr">
        <is>
          <t>MA5</t>
        </is>
      </c>
      <c r="B12" s="13" t="inlineStr">
        <is>
          <t>KHF-0005</t>
        </is>
      </c>
      <c r="C12" s="14" t="inlineStr">
        <is>
          <t>8993137713634</t>
        </is>
      </c>
      <c r="D12" s="13" t="inlineStr">
        <is>
          <t>Kahf Brightening and Dark Spot Scrub Face Wash</t>
        </is>
      </c>
      <c r="E12" s="13" t="inlineStr">
        <is>
          <t>100 ml</t>
        </is>
      </c>
      <c r="F12" s="7" t="n">
        <v>42500</v>
      </c>
      <c r="G12" s="7" t="n">
        <v>25</v>
      </c>
      <c r="H12" s="7">
        <f>F12*G12</f>
        <v/>
      </c>
      <c r="I12" s="7" t="n">
        <v>7</v>
      </c>
      <c r="J12" s="9">
        <f>G12/$B$5</f>
        <v/>
      </c>
      <c r="K12" s="9">
        <f>IFERROR(I12/J12,"-")</f>
        <v/>
      </c>
      <c r="L12" s="13" t="n"/>
    </row>
    <row r="13">
      <c r="A13" s="13" t="inlineStr">
        <is>
          <t>MA5</t>
        </is>
      </c>
      <c r="B13" s="13" t="inlineStr">
        <is>
          <t>KHF-0006</t>
        </is>
      </c>
      <c r="C13" s="14" t="inlineStr">
        <is>
          <t>8993137008471</t>
        </is>
      </c>
      <c r="D13" s="13" t="inlineStr">
        <is>
          <t>Kahf Acne and Pore Cleanse Scrub Face Wash</t>
        </is>
      </c>
      <c r="E13" s="13" t="inlineStr">
        <is>
          <t>100 ml</t>
        </is>
      </c>
      <c r="F13" s="7" t="n">
        <v>42500</v>
      </c>
      <c r="G13" s="7" t="n">
        <v>28</v>
      </c>
      <c r="H13" s="7">
        <f>F13*G13</f>
        <v/>
      </c>
      <c r="I13" s="7" t="n">
        <v>7</v>
      </c>
      <c r="J13" s="9">
        <f>G13/$B$5</f>
        <v/>
      </c>
      <c r="K13" s="9">
        <f>IFERROR(I13/J13,"-")</f>
        <v/>
      </c>
      <c r="L13" s="13" t="n"/>
    </row>
    <row r="14">
      <c r="A14" s="13" t="inlineStr">
        <is>
          <t>MA5</t>
        </is>
      </c>
      <c r="B14" s="13" t="inlineStr">
        <is>
          <t>KHF-0007</t>
        </is>
      </c>
      <c r="C14" s="14" t="inlineStr">
        <is>
          <t>8993137723756</t>
        </is>
      </c>
      <c r="D14" s="13" t="inlineStr">
        <is>
          <t>Kahf Triple Action Oil and Comedo Defense Face Wash</t>
        </is>
      </c>
      <c r="E14" s="13" t="inlineStr">
        <is>
          <t>100 ml</t>
        </is>
      </c>
      <c r="F14" s="7" t="n">
        <v>52800</v>
      </c>
      <c r="G14" s="7" t="n">
        <v>29</v>
      </c>
      <c r="H14" s="7">
        <f>F14*G14</f>
        <v/>
      </c>
      <c r="I14" s="7" t="n">
        <v>7</v>
      </c>
      <c r="J14" s="9">
        <f>G14/$B$5</f>
        <v/>
      </c>
      <c r="K14" s="9">
        <f>IFERROR(I14/J14,"-")</f>
        <v/>
      </c>
      <c r="L14" s="13" t="n"/>
    </row>
    <row r="15">
      <c r="A15" s="13" t="inlineStr">
        <is>
          <t>MA5</t>
        </is>
      </c>
      <c r="B15" s="13" t="inlineStr">
        <is>
          <t>KHF-0008</t>
        </is>
      </c>
      <c r="C15" s="14" t="inlineStr">
        <is>
          <t>8993137015523</t>
        </is>
      </c>
      <c r="D15" s="13" t="inlineStr">
        <is>
          <t>Kahf Acne Care AminoGel Face Wash</t>
        </is>
      </c>
      <c r="E15" s="13" t="inlineStr">
        <is>
          <t>100 ml</t>
        </is>
      </c>
      <c r="F15" s="7" t="n">
        <v>0</v>
      </c>
      <c r="G15" s="7" t="n">
        <v>34</v>
      </c>
      <c r="H15" s="7">
        <f>F15*G15</f>
        <v/>
      </c>
      <c r="I15" s="7" t="n">
        <v>15</v>
      </c>
      <c r="J15" s="9">
        <f>G15/$B$5</f>
        <v/>
      </c>
      <c r="K15" s="9">
        <f>IFERROR(I15/J15,"-")</f>
        <v/>
      </c>
      <c r="L15" s="13" t="n"/>
    </row>
    <row r="16">
      <c r="A16" s="13" t="inlineStr">
        <is>
          <t>MA5</t>
        </is>
      </c>
      <c r="B16" s="13" t="inlineStr">
        <is>
          <t>KHF-0009</t>
        </is>
      </c>
      <c r="C16" s="14" t="inlineStr">
        <is>
          <t>none yet</t>
        </is>
      </c>
      <c r="D16" s="13" t="inlineStr">
        <is>
          <t>Kahf Acne Care AminoGel Face Wash (travel size)</t>
        </is>
      </c>
      <c r="E16" s="13" t="inlineStr">
        <is>
          <t>50 ml</t>
        </is>
      </c>
      <c r="F16" s="7" t="n">
        <v>27500</v>
      </c>
      <c r="G16" s="7" t="n">
        <v>25</v>
      </c>
      <c r="H16" s="7">
        <f>F16*G16</f>
        <v/>
      </c>
      <c r="I16" s="7" t="n">
        <v>12</v>
      </c>
      <c r="J16" s="9">
        <f>G16/$B$5</f>
        <v/>
      </c>
      <c r="K16" s="9">
        <f>IFERROR(I16/J16,"-")</f>
        <v/>
      </c>
      <c r="L16" s="13" t="n"/>
    </row>
    <row r="17">
      <c r="A17" s="13" t="inlineStr">
        <is>
          <t>MA5</t>
        </is>
      </c>
      <c r="B17" s="13" t="inlineStr">
        <is>
          <t>KHF-0010</t>
        </is>
      </c>
      <c r="C17" s="14" t="inlineStr">
        <is>
          <t>8993137015530</t>
        </is>
      </c>
      <c r="D17" s="13" t="inlineStr">
        <is>
          <t>Kahf Bright Revitalizing AminoGel Face Wash</t>
        </is>
      </c>
      <c r="E17" s="13" t="inlineStr">
        <is>
          <t>100 ml</t>
        </is>
      </c>
      <c r="F17" s="7" t="n">
        <v>47500</v>
      </c>
      <c r="G17" s="7" t="n">
        <v>28</v>
      </c>
      <c r="H17" s="7">
        <f>F17*G17</f>
        <v/>
      </c>
      <c r="I17" s="7" t="n">
        <v>14</v>
      </c>
      <c r="J17" s="9">
        <f>G17/$B$5</f>
        <v/>
      </c>
      <c r="K17" s="9">
        <f>IFERROR(I17/J17,"-")</f>
        <v/>
      </c>
      <c r="L17" s="13" t="n"/>
    </row>
    <row r="18">
      <c r="A18" s="13" t="inlineStr">
        <is>
          <t>MA5</t>
        </is>
      </c>
      <c r="B18" s="13" t="inlineStr">
        <is>
          <t>KHF-0011</t>
        </is>
      </c>
      <c r="C18" s="14" t="inlineStr">
        <is>
          <t>none yet</t>
        </is>
      </c>
      <c r="D18" s="13" t="inlineStr">
        <is>
          <t>Kahf Bright Revitalizing AminoGel Face Wash (travel size)</t>
        </is>
      </c>
      <c r="E18" s="13" t="inlineStr">
        <is>
          <t>50 ml</t>
        </is>
      </c>
      <c r="F18" s="7" t="n">
        <v>27500</v>
      </c>
      <c r="G18" s="7" t="n">
        <v>30</v>
      </c>
      <c r="H18" s="7">
        <f>F18*G18</f>
        <v/>
      </c>
      <c r="I18" s="7" t="n">
        <v>5</v>
      </c>
      <c r="J18" s="9">
        <f>G18/$B$5</f>
        <v/>
      </c>
      <c r="K18" s="9">
        <f>IFERROR(I18/J18,"-")</f>
        <v/>
      </c>
      <c r="L18" s="13" t="n"/>
    </row>
    <row r="19">
      <c r="A19" s="13" t="inlineStr">
        <is>
          <t>MA5</t>
        </is>
      </c>
      <c r="B19" s="13" t="inlineStr">
        <is>
          <t>KHF-0013</t>
        </is>
      </c>
      <c r="C19" s="14" t="inlineStr">
        <is>
          <t>8993137729765</t>
        </is>
      </c>
      <c r="D19" s="13" t="inlineStr">
        <is>
          <t>Kahf Face Spray All-in-One and Power Toning (pump mist)</t>
        </is>
      </c>
      <c r="E19" s="13" t="inlineStr">
        <is>
          <t>100 ml</t>
        </is>
      </c>
      <c r="F19" s="7" t="n">
        <v>43000</v>
      </c>
      <c r="G19" s="7" t="n">
        <v>21</v>
      </c>
      <c r="H19" s="7">
        <f>F19*G19</f>
        <v/>
      </c>
      <c r="I19" s="7" t="n">
        <v>12</v>
      </c>
      <c r="J19" s="9">
        <f>G19/$B$5</f>
        <v/>
      </c>
      <c r="K19" s="9">
        <f>IFERROR(I19/J19,"-")</f>
        <v/>
      </c>
      <c r="L19" s="13" t="n"/>
    </row>
    <row r="20">
      <c r="A20" s="13" t="inlineStr">
        <is>
          <t>MA5</t>
        </is>
      </c>
      <c r="B20" s="13" t="inlineStr">
        <is>
          <t>KHF-0014</t>
        </is>
      </c>
      <c r="C20" s="14" t="inlineStr">
        <is>
          <t>8993137713658</t>
        </is>
      </c>
      <c r="D20" s="13" t="inlineStr">
        <is>
          <t>Kahf Face Serum Brightening and Texture Refining</t>
        </is>
      </c>
      <c r="E20" s="13" t="inlineStr">
        <is>
          <t>30 ml</t>
        </is>
      </c>
      <c r="F20" s="7" t="n">
        <v>69000</v>
      </c>
      <c r="G20" s="7" t="n">
        <v>25</v>
      </c>
      <c r="H20" s="7">
        <f>F20*G20</f>
        <v/>
      </c>
      <c r="I20" s="7" t="n">
        <v>7</v>
      </c>
      <c r="J20" s="9">
        <f>G20/$B$5</f>
        <v/>
      </c>
      <c r="K20" s="9">
        <f>IFERROR(I20/J20,"-")</f>
        <v/>
      </c>
      <c r="L20" s="13" t="n"/>
    </row>
    <row r="21">
      <c r="A21" s="13" t="inlineStr">
        <is>
          <t>MA5</t>
        </is>
      </c>
      <c r="B21" s="13" t="inlineStr">
        <is>
          <t>KHF-0015</t>
        </is>
      </c>
      <c r="C21" s="14" t="inlineStr">
        <is>
          <t>none yet</t>
        </is>
      </c>
      <c r="D21" s="13" t="inlineStr">
        <is>
          <t>Kahf Acne Clear &amp; Post-acne Repair Niosome Serum</t>
        </is>
      </c>
      <c r="E21" s="13" t="inlineStr">
        <is>
          <t>25 ml</t>
        </is>
      </c>
      <c r="F21" s="7" t="n">
        <v>100000</v>
      </c>
      <c r="G21" s="7" t="n">
        <v>28</v>
      </c>
      <c r="H21" s="7">
        <f>F21*G21</f>
        <v/>
      </c>
      <c r="I21" s="7" t="n">
        <v>7</v>
      </c>
      <c r="J21" s="9">
        <f>G21/$B$5</f>
        <v/>
      </c>
      <c r="K21" s="9">
        <f>IFERROR(I21/J21,"-")</f>
        <v/>
      </c>
      <c r="L21" s="13" t="n"/>
    </row>
    <row r="22">
      <c r="A22" s="13" t="inlineStr">
        <is>
          <t>KJ5</t>
        </is>
      </c>
      <c r="B22" s="13" t="inlineStr">
        <is>
          <t>KHF-0001</t>
        </is>
      </c>
      <c r="C22" s="14" t="inlineStr">
        <is>
          <t>8993137710428</t>
        </is>
      </c>
      <c r="D22" s="13" t="inlineStr">
        <is>
          <t>Kahf Oil and Acne Care Face Wash</t>
        </is>
      </c>
      <c r="E22" s="13" t="inlineStr">
        <is>
          <t>100 ml</t>
        </is>
      </c>
      <c r="F22" s="7" t="n">
        <v>43900</v>
      </c>
      <c r="G22" s="7" t="n">
        <v>15</v>
      </c>
      <c r="H22" s="7">
        <f>F22*G22</f>
        <v/>
      </c>
      <c r="I22" s="7" t="n">
        <v>15</v>
      </c>
      <c r="J22" s="9">
        <f>G22/$B$5</f>
        <v/>
      </c>
      <c r="K22" s="9">
        <f>IFERROR(I22/J22,"-")</f>
        <v/>
      </c>
      <c r="L22" s="13" t="n"/>
    </row>
    <row r="23">
      <c r="A23" s="13" t="inlineStr">
        <is>
          <t>KJ5</t>
        </is>
      </c>
      <c r="B23" s="13" t="inlineStr">
        <is>
          <t>KHF-0002</t>
        </is>
      </c>
      <c r="C23" s="14" t="inlineStr">
        <is>
          <t>8993137740838</t>
        </is>
      </c>
      <c r="D23" s="13" t="inlineStr">
        <is>
          <t>Kahf Oil and Acne Care Face Wash</t>
        </is>
      </c>
      <c r="E23" s="13" t="inlineStr">
        <is>
          <t>50 ml</t>
        </is>
      </c>
      <c r="F23" s="7" t="n">
        <v>29000</v>
      </c>
      <c r="G23" s="7" t="n">
        <v>12</v>
      </c>
      <c r="H23" s="7">
        <f>F23*G23</f>
        <v/>
      </c>
      <c r="I23" s="7" t="n">
        <v>12</v>
      </c>
      <c r="J23" s="9">
        <f>G23/$B$5</f>
        <v/>
      </c>
      <c r="K23" s="9">
        <f>IFERROR(I23/J23,"-")</f>
        <v/>
      </c>
      <c r="L23" s="13" t="n"/>
    </row>
    <row r="24">
      <c r="A24" s="13" t="inlineStr">
        <is>
          <t>KJ5</t>
        </is>
      </c>
      <c r="B24" s="13" t="inlineStr">
        <is>
          <t>KHF-0003</t>
        </is>
      </c>
      <c r="C24" s="14" t="inlineStr">
        <is>
          <t>8993137710411</t>
        </is>
      </c>
      <c r="D24" s="13" t="inlineStr">
        <is>
          <t>Kahf Skin Energizing and Brightening Face Wash</t>
        </is>
      </c>
      <c r="E24" s="13" t="inlineStr">
        <is>
          <t>100 ml</t>
        </is>
      </c>
      <c r="F24" s="7" t="n">
        <v>42500</v>
      </c>
      <c r="G24" s="7" t="n">
        <v>16</v>
      </c>
      <c r="H24" s="7">
        <f>F24*G24</f>
        <v/>
      </c>
      <c r="I24" s="7" t="n">
        <v>8</v>
      </c>
      <c r="J24" s="9">
        <f>G24/$B$5</f>
        <v/>
      </c>
      <c r="K24" s="9">
        <f>IFERROR(I24/J24,"-")</f>
        <v/>
      </c>
      <c r="L24" s="13" t="n"/>
    </row>
    <row r="25">
      <c r="A25" s="13" t="inlineStr">
        <is>
          <t>KJ5</t>
        </is>
      </c>
      <c r="B25" s="13" t="inlineStr">
        <is>
          <t>KHF-0004</t>
        </is>
      </c>
      <c r="C25" s="14" t="inlineStr">
        <is>
          <t>8993137740845</t>
        </is>
      </c>
      <c r="D25" s="13" t="inlineStr">
        <is>
          <t>Kahf Skin Energizing and Brightening Face Wash (Bright Foam)</t>
        </is>
      </c>
      <c r="E25" s="13" t="inlineStr">
        <is>
          <t>50 ml</t>
        </is>
      </c>
      <c r="F25" s="7" t="n">
        <v>29000</v>
      </c>
      <c r="G25" s="7" t="n">
        <v>14</v>
      </c>
      <c r="H25" s="7">
        <f>F25*G25</f>
        <v/>
      </c>
      <c r="I25" s="7" t="n">
        <v>10</v>
      </c>
      <c r="J25" s="9">
        <f>G25/$B$5</f>
        <v/>
      </c>
      <c r="K25" s="9">
        <f>IFERROR(I25/J25,"-")</f>
        <v/>
      </c>
      <c r="L25" s="13" t="n"/>
    </row>
    <row r="26">
      <c r="A26" s="13" t="inlineStr">
        <is>
          <t>KJ5</t>
        </is>
      </c>
      <c r="B26" s="13" t="inlineStr">
        <is>
          <t>KHF-0005</t>
        </is>
      </c>
      <c r="C26" s="14" t="inlineStr">
        <is>
          <t>8993137713634</t>
        </is>
      </c>
      <c r="D26" s="13" t="inlineStr">
        <is>
          <t>Kahf Brightening and Dark Spot Scrub Face Wash</t>
        </is>
      </c>
      <c r="E26" s="13" t="inlineStr">
        <is>
          <t>100 ml</t>
        </is>
      </c>
      <c r="F26" s="7" t="n">
        <v>42500</v>
      </c>
      <c r="G26" s="7" t="n">
        <v>15</v>
      </c>
      <c r="H26" s="7">
        <f>F26*G26</f>
        <v/>
      </c>
      <c r="I26" s="7" t="n">
        <v>13</v>
      </c>
      <c r="J26" s="9">
        <f>G26/$B$5</f>
        <v/>
      </c>
      <c r="K26" s="9">
        <f>IFERROR(I26/J26,"-")</f>
        <v/>
      </c>
      <c r="L26" s="13" t="n"/>
    </row>
    <row r="27">
      <c r="A27" s="13" t="inlineStr">
        <is>
          <t>KJ5</t>
        </is>
      </c>
      <c r="B27" s="13" t="inlineStr">
        <is>
          <t>KHF-0006</t>
        </is>
      </c>
      <c r="C27" s="14" t="inlineStr">
        <is>
          <t>8993137008471</t>
        </is>
      </c>
      <c r="D27" s="13" t="inlineStr">
        <is>
          <t>Kahf Acne and Pore Cleanse Scrub Face Wash</t>
        </is>
      </c>
      <c r="E27" s="13" t="inlineStr">
        <is>
          <t>100 ml</t>
        </is>
      </c>
      <c r="F27" s="7" t="n">
        <v>42500</v>
      </c>
      <c r="G27" s="7" t="n">
        <v>17</v>
      </c>
      <c r="H27" s="7">
        <f>F27*G27</f>
        <v/>
      </c>
      <c r="I27" s="7" t="n">
        <v>10</v>
      </c>
      <c r="J27" s="9">
        <f>G27/$B$5</f>
        <v/>
      </c>
      <c r="K27" s="9">
        <f>IFERROR(I27/J27,"-")</f>
        <v/>
      </c>
      <c r="L27" s="13" t="n"/>
    </row>
    <row r="28">
      <c r="A28" s="13" t="inlineStr">
        <is>
          <t>KJ5</t>
        </is>
      </c>
      <c r="B28" s="13" t="inlineStr">
        <is>
          <t>KHF-0007</t>
        </is>
      </c>
      <c r="C28" s="14" t="inlineStr">
        <is>
          <t>8993137723756</t>
        </is>
      </c>
      <c r="D28" s="13" t="inlineStr">
        <is>
          <t>Kahf Triple Action Oil and Comedo Defense Face Wash</t>
        </is>
      </c>
      <c r="E28" s="13" t="inlineStr">
        <is>
          <t>100 ml</t>
        </is>
      </c>
      <c r="F28" s="7" t="n">
        <v>52800</v>
      </c>
      <c r="G28" s="7" t="n">
        <v>17</v>
      </c>
      <c r="H28" s="7">
        <f>F28*G28</f>
        <v/>
      </c>
      <c r="I28" s="7" t="n">
        <v>12</v>
      </c>
      <c r="J28" s="9">
        <f>G28/$B$5</f>
        <v/>
      </c>
      <c r="K28" s="9">
        <f>IFERROR(I28/J28,"-")</f>
        <v/>
      </c>
      <c r="L28" s="13" t="n"/>
    </row>
    <row r="29">
      <c r="A29" s="13" t="inlineStr">
        <is>
          <t>KJ5</t>
        </is>
      </c>
      <c r="B29" s="13" t="inlineStr">
        <is>
          <t>KHF-0008</t>
        </is>
      </c>
      <c r="C29" s="14" t="inlineStr">
        <is>
          <t>8993137015523</t>
        </is>
      </c>
      <c r="D29" s="13" t="inlineStr">
        <is>
          <t>Kahf Acne Care AminoGel Face Wash</t>
        </is>
      </c>
      <c r="E29" s="13" t="inlineStr">
        <is>
          <t>100 ml</t>
        </is>
      </c>
      <c r="F29" s="7" t="n">
        <v>0</v>
      </c>
      <c r="G29" s="7" t="n">
        <v>23</v>
      </c>
      <c r="H29" s="7">
        <f>F29*G29</f>
        <v/>
      </c>
      <c r="I29" s="7" t="n">
        <v>14</v>
      </c>
      <c r="J29" s="9">
        <f>G29/$B$5</f>
        <v/>
      </c>
      <c r="K29" s="9">
        <f>IFERROR(I29/J29,"-")</f>
        <v/>
      </c>
      <c r="L29" s="13" t="n"/>
    </row>
    <row r="30">
      <c r="A30" s="13" t="inlineStr">
        <is>
          <t>KJ5</t>
        </is>
      </c>
      <c r="B30" s="13" t="inlineStr">
        <is>
          <t>KHF-0009</t>
        </is>
      </c>
      <c r="C30" s="14" t="inlineStr">
        <is>
          <t>none yet</t>
        </is>
      </c>
      <c r="D30" s="13" t="inlineStr">
        <is>
          <t>Kahf Acne Care AminoGel Face Wash (travel size)</t>
        </is>
      </c>
      <c r="E30" s="13" t="inlineStr">
        <is>
          <t>50 ml</t>
        </is>
      </c>
      <c r="F30" s="7" t="n">
        <v>27500</v>
      </c>
      <c r="G30" s="7" t="n">
        <v>22</v>
      </c>
      <c r="H30" s="7">
        <f>F30*G30</f>
        <v/>
      </c>
      <c r="I30" s="7" t="n">
        <v>12</v>
      </c>
      <c r="J30" s="9">
        <f>G30/$B$5</f>
        <v/>
      </c>
      <c r="K30" s="9">
        <f>IFERROR(I30/J30,"-")</f>
        <v/>
      </c>
      <c r="L30" s="13" t="n"/>
    </row>
    <row r="31">
      <c r="A31" s="13" t="inlineStr">
        <is>
          <t>KJ5</t>
        </is>
      </c>
      <c r="B31" s="13" t="inlineStr">
        <is>
          <t>KHF-0010</t>
        </is>
      </c>
      <c r="C31" s="14" t="inlineStr">
        <is>
          <t>8993137015530</t>
        </is>
      </c>
      <c r="D31" s="13" t="inlineStr">
        <is>
          <t>Kahf Bright Revitalizing AminoGel Face Wash</t>
        </is>
      </c>
      <c r="E31" s="13" t="inlineStr">
        <is>
          <t>100 ml</t>
        </is>
      </c>
      <c r="F31" s="7" t="n">
        <v>47500</v>
      </c>
      <c r="G31" s="7" t="n">
        <v>15</v>
      </c>
      <c r="H31" s="7">
        <f>F31*G31</f>
        <v/>
      </c>
      <c r="I31" s="7" t="n">
        <v>15</v>
      </c>
      <c r="J31" s="9">
        <f>G31/$B$5</f>
        <v/>
      </c>
      <c r="K31" s="9">
        <f>IFERROR(I31/J31,"-")</f>
        <v/>
      </c>
      <c r="L31" s="13" t="n"/>
    </row>
    <row r="32">
      <c r="A32" s="13" t="inlineStr">
        <is>
          <t>KJ5</t>
        </is>
      </c>
      <c r="B32" s="13" t="inlineStr">
        <is>
          <t>KHF-0011</t>
        </is>
      </c>
      <c r="C32" s="14" t="inlineStr">
        <is>
          <t>none yet</t>
        </is>
      </c>
      <c r="D32" s="13" t="inlineStr">
        <is>
          <t>Kahf Bright Revitalizing AminoGel Face Wash (travel size)</t>
        </is>
      </c>
      <c r="E32" s="13" t="inlineStr">
        <is>
          <t>50 ml</t>
        </is>
      </c>
      <c r="F32" s="7" t="n">
        <v>27500</v>
      </c>
      <c r="G32" s="7" t="n">
        <v>12</v>
      </c>
      <c r="H32" s="7">
        <f>F32*G32</f>
        <v/>
      </c>
      <c r="I32" s="7" t="n">
        <v>12</v>
      </c>
      <c r="J32" s="9">
        <f>G32/$B$5</f>
        <v/>
      </c>
      <c r="K32" s="9">
        <f>IFERROR(I32/J32,"-")</f>
        <v/>
      </c>
      <c r="L32" s="13" t="n"/>
    </row>
    <row r="33">
      <c r="A33" s="13" t="inlineStr">
        <is>
          <t>KJ5</t>
        </is>
      </c>
      <c r="B33" s="13" t="inlineStr">
        <is>
          <t>KHF-0013</t>
        </is>
      </c>
      <c r="C33" s="14" t="inlineStr">
        <is>
          <t>8993137729765</t>
        </is>
      </c>
      <c r="D33" s="13" t="inlineStr">
        <is>
          <t>Kahf Face Spray All-in-One and Power Toning (pump mist)</t>
        </is>
      </c>
      <c r="E33" s="13" t="inlineStr">
        <is>
          <t>100 ml</t>
        </is>
      </c>
      <c r="F33" s="7" t="n">
        <v>43000</v>
      </c>
      <c r="G33" s="7" t="n">
        <v>14</v>
      </c>
      <c r="H33" s="7">
        <f>F33*G33</f>
        <v/>
      </c>
      <c r="I33" s="7" t="n">
        <v>10</v>
      </c>
      <c r="J33" s="9">
        <f>G33/$B$5</f>
        <v/>
      </c>
      <c r="K33" s="9">
        <f>IFERROR(I33/J33,"-")</f>
        <v/>
      </c>
      <c r="L33" s="13" t="n"/>
    </row>
    <row r="34">
      <c r="A34" s="13" t="inlineStr">
        <is>
          <t>KJ5</t>
        </is>
      </c>
      <c r="B34" s="13" t="inlineStr">
        <is>
          <t>KHF-0014</t>
        </is>
      </c>
      <c r="C34" s="14" t="inlineStr">
        <is>
          <t>8993137713658</t>
        </is>
      </c>
      <c r="D34" s="13" t="inlineStr">
        <is>
          <t>Kahf Face Serum Brightening and Texture Refining</t>
        </is>
      </c>
      <c r="E34" s="13" t="inlineStr">
        <is>
          <t>30 ml</t>
        </is>
      </c>
      <c r="F34" s="7" t="n">
        <v>69000</v>
      </c>
      <c r="G34" s="7" t="n">
        <v>15</v>
      </c>
      <c r="H34" s="7">
        <f>F34*G34</f>
        <v/>
      </c>
      <c r="I34" s="7" t="n">
        <v>13</v>
      </c>
      <c r="J34" s="9">
        <f>G34/$B$5</f>
        <v/>
      </c>
      <c r="K34" s="9">
        <f>IFERROR(I34/J34,"-")</f>
        <v/>
      </c>
      <c r="L34" s="13" t="n"/>
    </row>
    <row r="35">
      <c r="A35" s="13" t="inlineStr">
        <is>
          <t>KJ5</t>
        </is>
      </c>
      <c r="B35" s="13" t="inlineStr">
        <is>
          <t>KHF-0015</t>
        </is>
      </c>
      <c r="C35" s="14" t="inlineStr">
        <is>
          <t>none yet</t>
        </is>
      </c>
      <c r="D35" s="13" t="inlineStr">
        <is>
          <t>Kahf Acne Clear &amp; Post-acne Repair Niosome Serum</t>
        </is>
      </c>
      <c r="E35" s="13" t="inlineStr">
        <is>
          <t>25 ml</t>
        </is>
      </c>
      <c r="F35" s="7" t="n">
        <v>100000</v>
      </c>
      <c r="G35" s="7" t="n">
        <v>17</v>
      </c>
      <c r="H35" s="7">
        <f>F35*G35</f>
        <v/>
      </c>
      <c r="I35" s="7" t="n">
        <v>10</v>
      </c>
      <c r="J35" s="9">
        <f>G35/$B$5</f>
        <v/>
      </c>
      <c r="K35" s="9">
        <f>IFERROR(I35/J35,"-")</f>
        <v/>
      </c>
      <c r="L35" s="13" t="n"/>
    </row>
    <row r="36">
      <c r="A36" s="15" t="inlineStr">
        <is>
          <t>Total</t>
        </is>
      </c>
      <c r="B36" s="16" t="n"/>
      <c r="C36" s="16" t="n"/>
      <c r="D36" s="16" t="n"/>
      <c r="E36" s="16" t="n"/>
      <c r="F36" s="16" t="n"/>
      <c r="G36" s="17">
        <f>SUM(G8:G35)</f>
        <v/>
      </c>
      <c r="H36" s="17">
        <f>SUM(H8:H35)</f>
        <v/>
      </c>
      <c r="I36" s="17">
        <f>SUM(I8:I35)</f>
        <v/>
      </c>
      <c r="J36" s="16" t="n"/>
      <c r="K36" s="16" t="n"/>
      <c r="L36" s="16" t="n"/>
    </row>
  </sheetData>
  <autoFilter ref="A7:L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7" customWidth="1" min="8" max="8"/>
    <col width="12" customWidth="1" min="9" max="9"/>
  </cols>
  <sheetData>
    <row r="1">
      <c r="A1" s="1" t="inlineStr">
        <is>
          <t>NINJA VAN</t>
        </is>
      </c>
    </row>
    <row r="2">
      <c r="A2" s="2" t="inlineStr">
        <is>
          <t>Stock reconciliation · Kahf</t>
        </is>
      </c>
    </row>
    <row r="4">
      <c r="A4" s="3" t="inlineStr">
        <is>
          <t>Period</t>
        </is>
      </c>
      <c r="B4" s="4" t="inlineStr">
        <is>
          <t>October 2026 (1 to 31 October)</t>
        </is>
      </c>
    </row>
    <row r="6" ht="30" customHeight="1">
      <c r="A6" s="5" t="inlineStr">
        <is>
          <t>Hub</t>
        </is>
      </c>
      <c r="B6" s="5" t="inlineStr">
        <is>
          <t>Opening stock</t>
        </is>
      </c>
      <c r="C6" s="5" t="inlineStr">
        <is>
          <t>Received</t>
        </is>
      </c>
      <c r="D6" s="5" t="inlineStr">
        <is>
          <t>Sold</t>
        </is>
      </c>
      <c r="E6" s="5" t="inlineStr">
        <is>
          <t>Returned to brand</t>
        </is>
      </c>
      <c r="F6" s="5" t="inlineStr">
        <is>
          <t>Written off</t>
        </is>
      </c>
      <c r="G6" s="5" t="inlineStr">
        <is>
          <t>Expected</t>
        </is>
      </c>
      <c r="H6" s="5" t="inlineStr">
        <is>
          <t>Counted at month end</t>
        </is>
      </c>
      <c r="I6" s="5" t="inlineStr">
        <is>
          <t>Difference</t>
        </is>
      </c>
    </row>
    <row r="7">
      <c r="A7" s="13" t="inlineStr">
        <is>
          <t>MA5</t>
        </is>
      </c>
      <c r="B7" s="7" t="n">
        <v>140</v>
      </c>
      <c r="C7" s="7" t="n">
        <v>386</v>
      </c>
      <c r="D7" s="7">
        <f>SUMIFS('Sales by SKU'!$G$8:$G$35,'Sales by SKU'!$A$8:$A$35,"MA5")</f>
        <v/>
      </c>
      <c r="E7" s="7" t="n">
        <v>3</v>
      </c>
      <c r="F7" s="7" t="n">
        <v>2</v>
      </c>
      <c r="G7" s="7">
        <f>B7+C7-D7-E7-F7</f>
        <v/>
      </c>
      <c r="H7" s="7" t="n">
        <v>137</v>
      </c>
      <c r="I7" s="8">
        <f>H7-G7</f>
        <v/>
      </c>
    </row>
    <row r="8">
      <c r="A8" s="13" t="inlineStr">
        <is>
          <t>KJ5</t>
        </is>
      </c>
      <c r="B8" s="7" t="n">
        <v>110</v>
      </c>
      <c r="C8" s="7" t="n">
        <v>282</v>
      </c>
      <c r="D8" s="7">
        <f>SUMIFS('Sales by SKU'!$G$8:$G$35,'Sales by SKU'!$A$8:$A$35,"KJ5")</f>
        <v/>
      </c>
      <c r="E8" s="7" t="n">
        <v>1</v>
      </c>
      <c r="F8" s="7" t="n">
        <v>1</v>
      </c>
      <c r="G8" s="7">
        <f>B8+C8-D8-E8-F8</f>
        <v/>
      </c>
      <c r="H8" s="7" t="n">
        <v>166</v>
      </c>
      <c r="I8" s="8">
        <f>H8-G8</f>
        <v/>
      </c>
    </row>
    <row r="10">
      <c r="A10" s="18" t="inlineStr">
        <is>
          <t>Deliveries received</t>
        </is>
      </c>
    </row>
    <row r="11" ht="30" customHeight="1">
      <c r="A11" s="5" t="inlineStr">
        <is>
          <t>AWB</t>
        </is>
      </c>
      <c r="B11" s="5" t="inlineStr">
        <is>
          <t>Date</t>
        </is>
      </c>
      <c r="C11" s="5" t="inlineStr">
        <is>
          <t>Hub</t>
        </is>
      </c>
      <c r="D11" s="5" t="inlineStr">
        <is>
          <t>Requested (PO)</t>
        </is>
      </c>
      <c r="E11" s="5" t="inlineStr">
        <is>
          <t>Sent (Surat Jalan)</t>
        </is>
      </c>
      <c r="F11" s="5" t="inlineStr">
        <is>
          <t>Received</t>
        </is>
      </c>
      <c r="G11" s="5" t="inlineStr">
        <is>
          <t>Difference</t>
        </is>
      </c>
      <c r="H11" s="5" t="inlineStr">
        <is>
          <t>PO number</t>
        </is>
      </c>
    </row>
    <row r="12">
      <c r="A12" s="13" t="inlineStr">
        <is>
          <t>JX2610010231</t>
        </is>
      </c>
      <c r="B12" s="13" t="inlineStr">
        <is>
          <t>03/10/2026</t>
        </is>
      </c>
      <c r="C12" s="13" t="inlineStr">
        <is>
          <t>MA5</t>
        </is>
      </c>
      <c r="D12" s="7" t="n">
        <v>96</v>
      </c>
      <c r="E12" s="7" t="n">
        <v>96</v>
      </c>
      <c r="F12" s="7" t="n">
        <v>96</v>
      </c>
      <c r="G12" s="8">
        <f>F12-E12</f>
        <v/>
      </c>
      <c r="H12" s="13" t="inlineStr">
        <is>
          <t>RPL-MA5-2609-03</t>
        </is>
      </c>
    </row>
    <row r="13">
      <c r="A13" s="13" t="inlineStr">
        <is>
          <t>JX2610010877</t>
        </is>
      </c>
      <c r="B13" s="13" t="inlineStr">
        <is>
          <t>10/10/2026</t>
        </is>
      </c>
      <c r="C13" s="13" t="inlineStr">
        <is>
          <t>KJ5</t>
        </is>
      </c>
      <c r="D13" s="7" t="n">
        <v>72</v>
      </c>
      <c r="E13" s="7" t="n">
        <v>70</v>
      </c>
      <c r="F13" s="7" t="n">
        <v>70</v>
      </c>
      <c r="G13" s="8">
        <f>F13-E13</f>
        <v/>
      </c>
      <c r="H13" s="13" t="inlineStr">
        <is>
          <t>RPL-KJ5-2610-01</t>
        </is>
      </c>
    </row>
    <row r="14">
      <c r="A14" s="13" t="inlineStr">
        <is>
          <t>JX2610011502</t>
        </is>
      </c>
      <c r="B14" s="13" t="inlineStr">
        <is>
          <t>17/10/2026</t>
        </is>
      </c>
      <c r="C14" s="13" t="inlineStr">
        <is>
          <t>MA5</t>
        </is>
      </c>
      <c r="D14" s="7" t="n">
        <v>84</v>
      </c>
      <c r="E14" s="7" t="n">
        <v>84</v>
      </c>
      <c r="F14" s="7" t="n">
        <v>86</v>
      </c>
      <c r="G14" s="8">
        <f>F14-E14</f>
        <v/>
      </c>
      <c r="H14" s="13" t="inlineStr">
        <is>
          <t>RPL-MA5-2610-02</t>
        </is>
      </c>
    </row>
    <row r="16">
      <c r="A16" s="18" t="inlineStr">
        <is>
          <t>Returns and write-offs</t>
        </is>
      </c>
    </row>
    <row r="17" ht="30" customHeight="1">
      <c r="A17" s="5" t="inlineStr">
        <is>
          <t>Hub</t>
        </is>
      </c>
      <c r="B17" s="5" t="inlineStr">
        <is>
          <t>SKU code</t>
        </is>
      </c>
      <c r="C17" s="5" t="inlineStr">
        <is>
          <t>Reason</t>
        </is>
      </c>
      <c r="D17" s="5" t="inlineStr">
        <is>
          <t>Units</t>
        </is>
      </c>
      <c r="E17" s="5" t="inlineStr">
        <is>
          <t>Cost borne by</t>
        </is>
      </c>
      <c r="F17" s="5" t="inlineStr">
        <is>
          <t>Date</t>
        </is>
      </c>
    </row>
    <row r="18">
      <c r="A18" s="13" t="inlineStr">
        <is>
          <t>MA5</t>
        </is>
      </c>
      <c r="B18" s="13" t="inlineStr">
        <is>
          <t>KHF-0006</t>
        </is>
      </c>
      <c r="C18" s="13" t="inlineStr">
        <is>
          <t>Damaged in the hub</t>
        </is>
      </c>
      <c r="D18" s="7" t="n">
        <v>1</v>
      </c>
      <c r="E18" s="13" t="inlineStr">
        <is>
          <t>Ninja</t>
        </is>
      </c>
      <c r="F18" s="13" t="inlineStr">
        <is>
          <t>12/10/2026</t>
        </is>
      </c>
    </row>
    <row r="19">
      <c r="A19" s="13" t="inlineStr">
        <is>
          <t>MA5</t>
        </is>
      </c>
      <c r="B19" s="13" t="inlineStr">
        <is>
          <t>KHF-0013</t>
        </is>
      </c>
      <c r="C19" s="13" t="inlineStr">
        <is>
          <t>Faulty pack (leak)</t>
        </is>
      </c>
      <c r="D19" s="7" t="n">
        <v>1</v>
      </c>
      <c r="E19" s="13" t="inlineStr">
        <is>
          <t>Brand</t>
        </is>
      </c>
      <c r="F19" s="13" t="inlineStr">
        <is>
          <t>20/10/2026</t>
        </is>
      </c>
    </row>
    <row r="20">
      <c r="A20" s="13" t="inlineStr">
        <is>
          <t>MA5</t>
        </is>
      </c>
      <c r="B20" s="13" t="inlineStr">
        <is>
          <t>KHF-0014</t>
        </is>
      </c>
      <c r="C20" s="13" t="inlineStr">
        <is>
          <t>Returned: expiry near</t>
        </is>
      </c>
      <c r="D20" s="7" t="n">
        <v>3</v>
      </c>
      <c r="E20" s="13" t="inlineStr">
        <is>
          <t>Brand</t>
        </is>
      </c>
      <c r="F20" s="13" t="inlineStr">
        <is>
          <t>28/10/2026</t>
        </is>
      </c>
    </row>
    <row r="21">
      <c r="A21" s="13" t="inlineStr">
        <is>
          <t>KJ5</t>
        </is>
      </c>
      <c r="B21" s="13" t="inlineStr">
        <is>
          <t>KHF-0003</t>
        </is>
      </c>
      <c r="C21" s="13" t="inlineStr">
        <is>
          <t>Faulty pack (leak)</t>
        </is>
      </c>
      <c r="D21" s="7" t="n">
        <v>1</v>
      </c>
      <c r="E21" s="13" t="inlineStr">
        <is>
          <t>Brand</t>
        </is>
      </c>
      <c r="F21" s="13" t="inlineStr">
        <is>
          <t>22/10/2026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2026-09-30T09:36:40Z</dcterms:created>
  <dcterms:modified xmlns:dcterms="http://purl.org/dc/terms/" xmlns:xsi="http://www.w3.org/2001/XMLSchema-instance" xsi:type="dcterms:W3CDTF">2026-09-30T09:36:40Z</dcterms:modified>
</cp:coreProperties>
</file>