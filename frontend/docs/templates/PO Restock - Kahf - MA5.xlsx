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sheetId="1" state="visible" r:id="rId1"/>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name val="Arial"/>
      <b val="1"/>
      <color rgb="00C0202D"/>
      <sz val="9"/>
    </font>
    <font>
      <name val="Arial"/>
      <b val="1"/>
      <color rgb="001B1D1C"/>
      <sz val="16"/>
    </font>
    <font>
      <name val="Arial"/>
      <color rgb="006B706D"/>
      <sz val="9"/>
    </font>
    <font>
      <name val="Arial"/>
      <b val="1"/>
      <color rgb="001B1D1C"/>
      <sz val="10"/>
    </font>
    <font>
      <name val="Arial"/>
      <b val="1"/>
      <color rgb="00C0202D"/>
      <sz val="10"/>
    </font>
    <font>
      <name val="Arial"/>
      <b val="1"/>
      <color rgb="00FFFFFF"/>
      <sz val="9"/>
    </font>
    <font>
      <name val="Arial"/>
      <color rgb="001B1D1C"/>
      <sz val="10"/>
    </font>
  </fonts>
  <fills count="5">
    <fill>
      <patternFill/>
    </fill>
    <fill>
      <patternFill patternType="gray125"/>
    </fill>
    <fill>
      <patternFill patternType="solid">
        <fgColor rgb="001B1D1C"/>
      </patternFill>
    </fill>
    <fill>
      <patternFill patternType="solid">
        <fgColor rgb="00FFF2CC"/>
      </patternFill>
    </fill>
    <fill>
      <patternFill patternType="solid">
        <fgColor rgb="00F2F4F1"/>
      </patternFill>
    </fill>
  </fills>
  <borders count="3">
    <border>
      <left/>
      <right/>
      <top/>
      <bottom/>
      <diagonal/>
    </border>
    <border>
      <left style="thin">
        <color rgb="00C6CBC5"/>
      </left>
      <right style="thin">
        <color rgb="00C6CBC5"/>
      </right>
      <top style="thin">
        <color rgb="00C6CBC5"/>
      </top>
      <bottom style="thin">
        <color rgb="00C6CBC5"/>
      </bottom>
    </border>
    <border>
      <bottom style="thin">
        <color rgb="00C6CBC5"/>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7" fillId="0" borderId="1" applyAlignment="1" pivotButton="0" quotePrefix="0" xfId="0">
      <alignment horizontal="center" vertical="center"/>
    </xf>
    <xf numFmtId="0" fontId="7" fillId="0" borderId="1" applyAlignment="1" pivotButton="0" quotePrefix="0" xfId="0">
      <alignment vertical="center"/>
    </xf>
    <xf numFmtId="49" fontId="7" fillId="0" borderId="1" applyAlignment="1" pivotButton="0" quotePrefix="0" xfId="0">
      <alignment vertical="center"/>
    </xf>
    <xf numFmtId="0" fontId="7" fillId="0" borderId="1" applyAlignment="1" pivotButton="0" quotePrefix="0" xfId="0">
      <alignment vertical="center" wrapText="1"/>
    </xf>
    <xf numFmtId="164" fontId="7" fillId="0" borderId="1" applyAlignment="1" pivotButton="0" quotePrefix="0" xfId="0">
      <alignment vertical="center"/>
    </xf>
    <xf numFmtId="164" fontId="4" fillId="0" borderId="1" applyAlignment="1" pivotButton="0" quotePrefix="0" xfId="0">
      <alignment vertical="center"/>
    </xf>
    <xf numFmtId="49" fontId="7" fillId="3" borderId="1" applyAlignment="1" pivotButton="0" quotePrefix="0" xfId="0">
      <alignment vertical="center"/>
    </xf>
    <xf numFmtId="49" fontId="5" fillId="0" borderId="1" applyAlignment="1" pivotButton="0" quotePrefix="0" xfId="0">
      <alignment vertical="center"/>
    </xf>
    <xf numFmtId="0" fontId="7" fillId="4" borderId="1" pivotButton="0" quotePrefix="0" xfId="0"/>
    <xf numFmtId="0" fontId="5" fillId="4" borderId="1" pivotButton="0" quotePrefix="0" xfId="0"/>
    <xf numFmtId="0" fontId="4" fillId="4" borderId="1" pivotButton="0" quotePrefix="0" xfId="0"/>
    <xf numFmtId="164" fontId="4" fillId="4" borderId="1"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drawing1.xml><?xml version="1.0" encoding="utf-8"?>
<wsDr xmlns="http://schemas.openxmlformats.org/drawingml/2006/spreadsheetDrawing">
  <oneCellAnchor>
    <from>
      <col>4</col>
      <colOff>0</colOff>
      <row>14</row>
      <rowOff>0</rowOff>
    </from>
    <ext cx="1714500"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15</row>
      <rowOff>0</rowOff>
    </from>
    <ext cx="1714500" cy="552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16</row>
      <rowOff>0</rowOff>
    </from>
    <ext cx="1714500" cy="55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17</row>
      <rowOff>0</rowOff>
    </from>
    <ext cx="1714500" cy="552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18</row>
      <rowOff>0</rowOff>
    </from>
    <ext cx="1714500" cy="552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19</row>
      <rowOff>0</rowOff>
    </from>
    <ext cx="1714500" cy="552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20</row>
      <rowOff>0</rowOff>
    </from>
    <ext cx="1714500" cy="552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21</row>
      <rowOff>0</rowOff>
    </from>
    <ext cx="1714500" cy="552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23</row>
      <rowOff>0</rowOff>
    </from>
    <ext cx="1714500" cy="552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25</row>
      <rowOff>0</rowOff>
    </from>
    <ext cx="1714500" cy="552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26</row>
      <rowOff>0</rowOff>
    </from>
    <ext cx="1714500" cy="552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39"/>
  <sheetViews>
    <sheetView showGridLines="0" workbookViewId="0">
      <pane xSplit="3" ySplit="14" topLeftCell="D1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4" customWidth="1" min="3" max="3"/>
    <col width="17" customWidth="1" min="4" max="4"/>
    <col width="26" customWidth="1" min="5" max="5"/>
    <col width="46" customWidth="1" min="6" max="6"/>
    <col width="9" customWidth="1" min="7" max="7"/>
    <col width="10" customWidth="1" min="8" max="8"/>
    <col width="10" customWidth="1" min="9" max="9"/>
    <col width="13" customWidth="1" min="10" max="10"/>
    <col width="24" customWidth="1" min="11" max="11"/>
    <col width="22" customWidth="1" min="12" max="12"/>
  </cols>
  <sheetData>
    <row r="1">
      <c r="A1" s="1" t="inlineStr">
        <is>
          <t>NINJA VAN</t>
        </is>
      </c>
    </row>
    <row r="2">
      <c r="A2" s="2" t="inlineStr">
        <is>
          <t>Purchase Order · Restock</t>
        </is>
      </c>
    </row>
    <row r="4">
      <c r="A4" s="3" t="inlineStr">
        <is>
          <t>PO number</t>
        </is>
      </c>
      <c r="B4" s="4" t="inlineStr">
        <is>
          <t>RPL-MA5-2610-02</t>
        </is>
      </c>
    </row>
    <row r="5">
      <c r="A5" s="3" t="inlineStr">
        <is>
          <t>PO date</t>
        </is>
      </c>
      <c r="B5" s="4" t="inlineStr">
        <is>
          <t>14/10/2026</t>
        </is>
      </c>
    </row>
    <row r="6">
      <c r="A6" s="3" t="inlineStr">
        <is>
          <t>To (brand)</t>
        </is>
      </c>
      <c r="B6" s="4" t="inlineStr">
        <is>
          <t>Kahf · PT Paragon Technology and Innovation</t>
        </is>
      </c>
    </row>
    <row r="7">
      <c r="A7" s="3" t="inlineStr">
        <is>
          <t>Brand contact</t>
        </is>
      </c>
      <c r="B7" s="4" t="inlineStr">
        <is>
          <t>Restock contact name · email · WhatsApp</t>
        </is>
      </c>
    </row>
    <row r="8">
      <c r="A8" s="3" t="inlineStr">
        <is>
          <t>Deliver to</t>
        </is>
      </c>
      <c r="B8" s="4" t="inlineStr">
        <is>
          <t>Ninja Van Dark Store MA5 Cawang · Jl. Raya Kalibata No. 4, Kramat Jati, Jakarta Timur</t>
        </is>
      </c>
    </row>
    <row r="9">
      <c r="A9" s="3" t="inlineStr">
        <is>
          <t>Requested delivery date</t>
        </is>
      </c>
      <c r="B9" s="4" t="inlineStr">
        <is>
          <t>17/10/2026, receiving 09:00 to 16:00 WIB</t>
        </is>
      </c>
    </row>
    <row r="10">
      <c r="A10" s="3" t="inlineStr">
        <is>
          <t>Created by (Ops HQ)</t>
        </is>
      </c>
      <c r="B10" s="4" t="inlineStr">
        <is>
          <t>Ops HQ name · name@ninjavan.co</t>
        </is>
      </c>
    </row>
    <row r="12" ht="44" customHeight="1">
      <c r="A12" s="5" t="inlineStr">
        <is>
          <t>Please: (1) make sure every unit carries the barcode in the Barcode column; if it differs or is missing, write the right barcode in the yellow column. (2) List the expiry date (ED) of each SKU on the Faktur. (3) Put this PO number on the Faktur and the Surat Jalan.</t>
        </is>
      </c>
    </row>
    <row r="14" ht="30" customHeight="1">
      <c r="A14" s="6" t="inlineStr">
        <is>
          <t>No</t>
        </is>
      </c>
      <c r="B14" s="6" t="inlineStr">
        <is>
          <t>Brand SKU code</t>
        </is>
      </c>
      <c r="C14" s="6" t="inlineStr">
        <is>
          <t>Hiryu SKU code</t>
        </is>
      </c>
      <c r="D14" s="6" t="inlineStr">
        <is>
          <t>Barcode (EAN-13)</t>
        </is>
      </c>
      <c r="E14" s="6" t="inlineStr">
        <is>
          <t>Barcode</t>
        </is>
      </c>
      <c r="F14" s="6" t="inlineStr">
        <is>
          <t>Product</t>
        </is>
      </c>
      <c r="G14" s="6" t="inlineStr">
        <is>
          <t>Size</t>
        </is>
      </c>
      <c r="H14" s="6" t="inlineStr">
        <is>
          <t>Current stock</t>
        </is>
      </c>
      <c r="I14" s="6" t="inlineStr">
        <is>
          <t>Fill up to</t>
        </is>
      </c>
      <c r="J14" s="6" t="inlineStr">
        <is>
          <t>Quantity requested (pcs)</t>
        </is>
      </c>
      <c r="K14" s="6" t="inlineStr">
        <is>
          <t>Brand's barcode (fill if different or missing)</t>
        </is>
      </c>
      <c r="L14" s="6" t="inlineStr">
        <is>
          <t>Notes</t>
        </is>
      </c>
    </row>
    <row r="15" ht="50" customHeight="1">
      <c r="A15" s="7" t="n">
        <v>1</v>
      </c>
      <c r="B15" s="8" t="inlineStr">
        <is>
          <t>KHF-0001</t>
        </is>
      </c>
      <c r="C15" s="8" t="inlineStr">
        <is>
          <t>KHF-0001</t>
        </is>
      </c>
      <c r="D15" s="9" t="inlineStr">
        <is>
          <t>8993137710428</t>
        </is>
      </c>
      <c r="E15" s="8" t="n"/>
      <c r="F15" s="10" t="inlineStr">
        <is>
          <t>Kahf Oil and Acne Care Face Wash</t>
        </is>
      </c>
      <c r="G15" s="8" t="inlineStr">
        <is>
          <t>100 ml</t>
        </is>
      </c>
      <c r="H15" s="11" t="n">
        <v>8</v>
      </c>
      <c r="I15" s="11" t="n">
        <v>15</v>
      </c>
      <c r="J15" s="12">
        <f>MAX(0,I15-H15)</f>
        <v/>
      </c>
      <c r="K15" s="13" t="n"/>
      <c r="L15" s="10" t="n"/>
    </row>
    <row r="16" ht="50" customHeight="1">
      <c r="A16" s="7" t="n">
        <v>2</v>
      </c>
      <c r="B16" s="8" t="inlineStr">
        <is>
          <t>KHF-0002</t>
        </is>
      </c>
      <c r="C16" s="8" t="inlineStr">
        <is>
          <t>KHF-0002</t>
        </is>
      </c>
      <c r="D16" s="9" t="inlineStr">
        <is>
          <t>8993137740838</t>
        </is>
      </c>
      <c r="E16" s="8" t="n"/>
      <c r="F16" s="10" t="inlineStr">
        <is>
          <t>Kahf Oil and Acne Care Face Wash</t>
        </is>
      </c>
      <c r="G16" s="8" t="inlineStr">
        <is>
          <t>50 ml</t>
        </is>
      </c>
      <c r="H16" s="11" t="n">
        <v>0</v>
      </c>
      <c r="I16" s="11" t="n">
        <v>15</v>
      </c>
      <c r="J16" s="12">
        <f>MAX(0,I16-H16)</f>
        <v/>
      </c>
      <c r="K16" s="13" t="n"/>
      <c r="L16" s="10" t="n"/>
    </row>
    <row r="17" ht="50" customHeight="1">
      <c r="A17" s="7" t="n">
        <v>3</v>
      </c>
      <c r="B17" s="8" t="inlineStr">
        <is>
          <t>KHF-0003</t>
        </is>
      </c>
      <c r="C17" s="8" t="inlineStr">
        <is>
          <t>KHF-0003</t>
        </is>
      </c>
      <c r="D17" s="9" t="inlineStr">
        <is>
          <t>8993137710411</t>
        </is>
      </c>
      <c r="E17" s="8" t="n"/>
      <c r="F17" s="10" t="inlineStr">
        <is>
          <t>Kahf Skin Energizing and Brightening Face Wash</t>
        </is>
      </c>
      <c r="G17" s="8" t="inlineStr">
        <is>
          <t>100 ml</t>
        </is>
      </c>
      <c r="H17" s="11" t="n">
        <v>7</v>
      </c>
      <c r="I17" s="11" t="n">
        <v>15</v>
      </c>
      <c r="J17" s="12">
        <f>MAX(0,I17-H17)</f>
        <v/>
      </c>
      <c r="K17" s="13" t="n"/>
      <c r="L17" s="10" t="n"/>
    </row>
    <row r="18" ht="50" customHeight="1">
      <c r="A18" s="7" t="n">
        <v>4</v>
      </c>
      <c r="B18" s="8" t="inlineStr">
        <is>
          <t>KHF-0004</t>
        </is>
      </c>
      <c r="C18" s="8" t="inlineStr">
        <is>
          <t>KHF-0004</t>
        </is>
      </c>
      <c r="D18" s="9" t="inlineStr">
        <is>
          <t>8993137740845</t>
        </is>
      </c>
      <c r="E18" s="8" t="n"/>
      <c r="F18" s="10" t="inlineStr">
        <is>
          <t>Kahf Skin Energizing and Brightening Face Wash (Bright Foam)</t>
        </is>
      </c>
      <c r="G18" s="8" t="inlineStr">
        <is>
          <t>50 ml</t>
        </is>
      </c>
      <c r="H18" s="11" t="n">
        <v>6</v>
      </c>
      <c r="I18" s="11" t="n">
        <v>15</v>
      </c>
      <c r="J18" s="12">
        <f>MAX(0,I18-H18)</f>
        <v/>
      </c>
      <c r="K18" s="13" t="n"/>
      <c r="L18" s="10" t="n"/>
    </row>
    <row r="19" ht="50" customHeight="1">
      <c r="A19" s="7" t="n">
        <v>5</v>
      </c>
      <c r="B19" s="8" t="inlineStr">
        <is>
          <t>KHF-0005</t>
        </is>
      </c>
      <c r="C19" s="8" t="inlineStr">
        <is>
          <t>KHF-0005</t>
        </is>
      </c>
      <c r="D19" s="9" t="inlineStr">
        <is>
          <t>8993137713634</t>
        </is>
      </c>
      <c r="E19" s="8" t="n"/>
      <c r="F19" s="10" t="inlineStr">
        <is>
          <t>Kahf Brightening and Dark Spot Scrub Face Wash</t>
        </is>
      </c>
      <c r="G19" s="8" t="inlineStr">
        <is>
          <t>100 ml</t>
        </is>
      </c>
      <c r="H19" s="11" t="n">
        <v>1</v>
      </c>
      <c r="I19" s="11" t="n">
        <v>15</v>
      </c>
      <c r="J19" s="12">
        <f>MAX(0,I19-H19)</f>
        <v/>
      </c>
      <c r="K19" s="13" t="n"/>
      <c r="L19" s="10" t="n"/>
    </row>
    <row r="20" ht="50" customHeight="1">
      <c r="A20" s="7" t="n">
        <v>6</v>
      </c>
      <c r="B20" s="8" t="inlineStr">
        <is>
          <t>KHF-0006</t>
        </is>
      </c>
      <c r="C20" s="8" t="inlineStr">
        <is>
          <t>KHF-0006</t>
        </is>
      </c>
      <c r="D20" s="9" t="inlineStr">
        <is>
          <t>8993137008471</t>
        </is>
      </c>
      <c r="E20" s="8" t="n"/>
      <c r="F20" s="10" t="inlineStr">
        <is>
          <t>Kahf Acne and Pore Cleanse Scrub Face Wash</t>
        </is>
      </c>
      <c r="G20" s="8" t="inlineStr">
        <is>
          <t>100 ml</t>
        </is>
      </c>
      <c r="H20" s="11" t="n">
        <v>1</v>
      </c>
      <c r="I20" s="11" t="n">
        <v>15</v>
      </c>
      <c r="J20" s="12">
        <f>MAX(0,I20-H20)</f>
        <v/>
      </c>
      <c r="K20" s="13" t="n"/>
      <c r="L20" s="10" t="n"/>
    </row>
    <row r="21" ht="50" customHeight="1">
      <c r="A21" s="7" t="n">
        <v>7</v>
      </c>
      <c r="B21" s="8" t="inlineStr">
        <is>
          <t>KHF-0007</t>
        </is>
      </c>
      <c r="C21" s="8" t="inlineStr">
        <is>
          <t>KHF-0007</t>
        </is>
      </c>
      <c r="D21" s="9" t="inlineStr">
        <is>
          <t>8993137723756</t>
        </is>
      </c>
      <c r="E21" s="8" t="n"/>
      <c r="F21" s="10" t="inlineStr">
        <is>
          <t>Kahf Triple Action Oil and Comedo Defense Face Wash</t>
        </is>
      </c>
      <c r="G21" s="8" t="inlineStr">
        <is>
          <t>100 ml</t>
        </is>
      </c>
      <c r="H21" s="11" t="n">
        <v>1</v>
      </c>
      <c r="I21" s="11" t="n">
        <v>15</v>
      </c>
      <c r="J21" s="12">
        <f>MAX(0,I21-H21)</f>
        <v/>
      </c>
      <c r="K21" s="13" t="n"/>
      <c r="L21" s="10" t="n"/>
    </row>
    <row r="22" ht="50" customHeight="1">
      <c r="A22" s="7" t="n">
        <v>8</v>
      </c>
      <c r="B22" s="8" t="inlineStr">
        <is>
          <t>KHF-0008</t>
        </is>
      </c>
      <c r="C22" s="8" t="inlineStr">
        <is>
          <t>KHF-0008</t>
        </is>
      </c>
      <c r="D22" s="9" t="inlineStr">
        <is>
          <t>8993137015523</t>
        </is>
      </c>
      <c r="E22" s="8" t="n"/>
      <c r="F22" s="10" t="inlineStr">
        <is>
          <t>Kahf Acne Care AminoGel Face Wash</t>
        </is>
      </c>
      <c r="G22" s="8" t="inlineStr">
        <is>
          <t>100 ml</t>
        </is>
      </c>
      <c r="H22" s="11" t="n">
        <v>9</v>
      </c>
      <c r="I22" s="11" t="n">
        <v>15</v>
      </c>
      <c r="J22" s="12">
        <f>MAX(0,I22-H22)</f>
        <v/>
      </c>
      <c r="K22" s="13" t="n"/>
      <c r="L22" s="10" t="n"/>
    </row>
    <row r="23" ht="50" customHeight="1">
      <c r="A23" s="7" t="n">
        <v>9</v>
      </c>
      <c r="B23" s="8" t="inlineStr">
        <is>
          <t>KHF-0009</t>
        </is>
      </c>
      <c r="C23" s="8" t="inlineStr">
        <is>
          <t>KHF-0009</t>
        </is>
      </c>
      <c r="D23" s="14" t="inlineStr">
        <is>
          <t>MISSING</t>
        </is>
      </c>
      <c r="E23" s="8" t="n"/>
      <c r="F23" s="10" t="inlineStr">
        <is>
          <t>Kahf Acne Care AminoGel Face Wash (travel size)</t>
        </is>
      </c>
      <c r="G23" s="8" t="inlineStr">
        <is>
          <t>50 ml</t>
        </is>
      </c>
      <c r="H23" s="11" t="n">
        <v>6</v>
      </c>
      <c r="I23" s="11" t="n">
        <v>15</v>
      </c>
      <c r="J23" s="12">
        <f>MAX(0,I23-H23)</f>
        <v/>
      </c>
      <c r="K23" s="13" t="n"/>
      <c r="L23" s="10" t="n"/>
    </row>
    <row r="24" ht="50" customHeight="1">
      <c r="A24" s="7" t="n">
        <v>10</v>
      </c>
      <c r="B24" s="8" t="inlineStr">
        <is>
          <t>KHF-0010</t>
        </is>
      </c>
      <c r="C24" s="8" t="inlineStr">
        <is>
          <t>KHF-0010</t>
        </is>
      </c>
      <c r="D24" s="9" t="inlineStr">
        <is>
          <t>8993137015530</t>
        </is>
      </c>
      <c r="E24" s="8" t="n"/>
      <c r="F24" s="10" t="inlineStr">
        <is>
          <t>Kahf Bright Revitalizing AminoGel Face Wash</t>
        </is>
      </c>
      <c r="G24" s="8" t="inlineStr">
        <is>
          <t>100 ml</t>
        </is>
      </c>
      <c r="H24" s="11" t="n">
        <v>8</v>
      </c>
      <c r="I24" s="11" t="n">
        <v>15</v>
      </c>
      <c r="J24" s="12">
        <f>MAX(0,I24-H24)</f>
        <v/>
      </c>
      <c r="K24" s="13" t="n"/>
      <c r="L24" s="10" t="n"/>
    </row>
    <row r="25" ht="50" customHeight="1">
      <c r="A25" s="7" t="n">
        <v>11</v>
      </c>
      <c r="B25" s="8" t="inlineStr">
        <is>
          <t>KHF-0011</t>
        </is>
      </c>
      <c r="C25" s="8" t="inlineStr">
        <is>
          <t>KHF-0011</t>
        </is>
      </c>
      <c r="D25" s="14" t="inlineStr">
        <is>
          <t>MISSING</t>
        </is>
      </c>
      <c r="E25" s="8" t="n"/>
      <c r="F25" s="10" t="inlineStr">
        <is>
          <t>Kahf Bright Revitalizing AminoGel Face Wash (travel size)</t>
        </is>
      </c>
      <c r="G25" s="8" t="inlineStr">
        <is>
          <t>50 ml</t>
        </is>
      </c>
      <c r="H25" s="11" t="n">
        <v>0</v>
      </c>
      <c r="I25" s="11" t="n">
        <v>15</v>
      </c>
      <c r="J25" s="12">
        <f>MAX(0,I25-H25)</f>
        <v/>
      </c>
      <c r="K25" s="13" t="n"/>
      <c r="L25" s="10" t="n"/>
    </row>
    <row r="26" ht="50" customHeight="1">
      <c r="A26" s="7" t="n">
        <v>12</v>
      </c>
      <c r="B26" s="8" t="inlineStr">
        <is>
          <t>KHF-0013</t>
        </is>
      </c>
      <c r="C26" s="8" t="inlineStr">
        <is>
          <t>KHF-0013</t>
        </is>
      </c>
      <c r="D26" s="9" t="inlineStr">
        <is>
          <t>8993137729765</t>
        </is>
      </c>
      <c r="E26" s="8" t="n"/>
      <c r="F26" s="10" t="inlineStr">
        <is>
          <t>Kahf Face Spray All-in-One and Power Toning (pump mist)</t>
        </is>
      </c>
      <c r="G26" s="8" t="inlineStr">
        <is>
          <t>100 ml</t>
        </is>
      </c>
      <c r="H26" s="11" t="n">
        <v>6</v>
      </c>
      <c r="I26" s="11" t="n">
        <v>15</v>
      </c>
      <c r="J26" s="12">
        <f>MAX(0,I26-H26)</f>
        <v/>
      </c>
      <c r="K26" s="13" t="n"/>
      <c r="L26" s="10" t="n"/>
    </row>
    <row r="27" ht="50" customHeight="1">
      <c r="A27" s="7" t="n">
        <v>13</v>
      </c>
      <c r="B27" s="8" t="inlineStr">
        <is>
          <t>KHF-0014</t>
        </is>
      </c>
      <c r="C27" s="8" t="inlineStr">
        <is>
          <t>KHF-0014</t>
        </is>
      </c>
      <c r="D27" s="9" t="inlineStr">
        <is>
          <t>8993137713658</t>
        </is>
      </c>
      <c r="E27" s="8" t="n"/>
      <c r="F27" s="10" t="inlineStr">
        <is>
          <t>Kahf Face Serum Brightening and Texture Refining</t>
        </is>
      </c>
      <c r="G27" s="8" t="inlineStr">
        <is>
          <t>30 ml</t>
        </is>
      </c>
      <c r="H27" s="11" t="n">
        <v>1</v>
      </c>
      <c r="I27" s="11" t="n">
        <v>15</v>
      </c>
      <c r="J27" s="12">
        <f>MAX(0,I27-H27)</f>
        <v/>
      </c>
      <c r="K27" s="13" t="n"/>
      <c r="L27" s="10" t="n"/>
    </row>
    <row r="28" ht="50" customHeight="1">
      <c r="A28" s="7" t="n">
        <v>14</v>
      </c>
      <c r="B28" s="8" t="inlineStr">
        <is>
          <t>KHF-0015</t>
        </is>
      </c>
      <c r="C28" s="8" t="inlineStr">
        <is>
          <t>KHF-0015</t>
        </is>
      </c>
      <c r="D28" s="14" t="inlineStr">
        <is>
          <t>MISSING</t>
        </is>
      </c>
      <c r="E28" s="8" t="n"/>
      <c r="F28" s="10" t="inlineStr">
        <is>
          <t>Kahf Acne Clear &amp; Post-acne Repair Niosome Serum</t>
        </is>
      </c>
      <c r="G28" s="8" t="inlineStr">
        <is>
          <t>25 ml</t>
        </is>
      </c>
      <c r="H28" s="11" t="n">
        <v>1</v>
      </c>
      <c r="I28" s="11" t="n">
        <v>15</v>
      </c>
      <c r="J28" s="12">
        <f>MAX(0,I28-H28)</f>
        <v/>
      </c>
      <c r="K28" s="13" t="n"/>
      <c r="L28" s="10" t="n"/>
    </row>
    <row r="29">
      <c r="A29" s="15" t="n"/>
      <c r="B29" s="15" t="n"/>
      <c r="C29" s="15" t="n"/>
      <c r="D29" s="16">
        <f>COUNTIF(D15:D28,"MISSING")&amp;" SKU without a barcode"</f>
        <v/>
      </c>
      <c r="E29" s="15" t="n"/>
      <c r="F29" s="17" t="inlineStr">
        <is>
          <t>Total</t>
        </is>
      </c>
      <c r="G29" s="15" t="n"/>
      <c r="H29" s="15" t="n"/>
      <c r="I29" s="15" t="n"/>
      <c r="J29" s="18">
        <f>SUM(J15:J28)</f>
        <v/>
      </c>
      <c r="K29" s="15" t="n"/>
      <c r="L29" s="15" t="n"/>
    </row>
    <row r="31">
      <c r="A31" s="3" t="inlineStr">
        <is>
          <t>Yellow cells are for the brand to fill. MISSING means the WMS has no barcode for that SKU yet.</t>
        </is>
      </c>
    </row>
    <row r="33">
      <c r="B33" s="3" t="inlineStr">
        <is>
          <t>Created by Ops HQ (name, date)</t>
        </is>
      </c>
    </row>
    <row r="35">
      <c r="B35" s="19" t="n"/>
      <c r="C35" s="19" t="n"/>
      <c r="D35" s="19" t="n"/>
      <c r="E35" s="19" t="n"/>
      <c r="F35" s="19" t="n"/>
    </row>
    <row r="37">
      <c r="B37" s="3" t="inlineStr">
        <is>
          <t>Confirmed by the brand (name, date, shipment AWB)</t>
        </is>
      </c>
    </row>
    <row r="39">
      <c r="B39" s="19" t="n"/>
      <c r="C39" s="19" t="n"/>
      <c r="D39" s="19" t="n"/>
      <c r="E39" s="19" t="n"/>
      <c r="F39" s="19" t="n"/>
    </row>
  </sheetData>
  <mergeCells count="1">
    <mergeCell ref="A12:L12"/>
  </mergeCells>
  <pageMargins left="0.75" right="0.75" top="1" bottom="1" header="0.5" footer="0.5"/>
  <pageSetup orientation="landscape"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2026-09-30T09:36:40Z</dcterms:created>
  <dcterms:modified xmlns:dcterms="http://purl.org/dc/terms/" xmlns:xsi="http://www.w3.org/2001/XMLSchema-instance" xsi:type="dcterms:W3CDTF">2026-09-30T09:36:40Z</dcterms:modified>
</cp:coreProperties>
</file>